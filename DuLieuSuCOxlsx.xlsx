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5\"/>
    </mc:Choice>
  </mc:AlternateContent>
  <xr:revisionPtr revIDLastSave="0" documentId="8_{ABBC505D-A7DD-4737-805C-51D408FB9F49}" xr6:coauthVersionLast="47" xr6:coauthVersionMax="47" xr10:uidLastSave="{00000000-0000-0000-0000-000000000000}"/>
  <bookViews>
    <workbookView xWindow="-108" yWindow="-108" windowWidth="23256" windowHeight="12456" activeTab="2" xr2:uid="{1D1B27E3-382D-4038-8F42-88988F5536A1}"/>
  </bookViews>
  <sheets>
    <sheet name="CoSoDuLieuVirus" sheetId="1" r:id="rId1"/>
    <sheet name="NhatKyHeThong" sheetId="2" r:id="rId2"/>
    <sheet name="HuongDan" sheetId="3" r:id="rId3"/>
  </sheets>
  <definedNames>
    <definedName name="_xlnm._FilterDatabase" localSheetId="1" hidden="1">NhatKyHeThong!$A$1:$H$9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2" i="2"/>
  <c r="E3" i="2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<sst xmlns="http://schemas.openxmlformats.org/spreadsheetml/2006/main" count="108" uniqueCount="91">
  <si>
    <t>MaMaDoc</t>
  </si>
  <si>
    <t>TenMaDoc</t>
  </si>
  <si>
    <t>MucDoNguyHiem</t>
  </si>
  <si>
    <t>BienPhapXuLy</t>
  </si>
  <si>
    <t>VIR001</t>
  </si>
  <si>
    <t>Trojan.Generic</t>
  </si>
  <si>
    <t>Cao</t>
  </si>
  <si>
    <t>Cô lập thiết bị, quét toàn bộ hệ thống.</t>
  </si>
  <si>
    <t>VIR002</t>
  </si>
  <si>
    <t>Ransomware.Demo</t>
  </si>
  <si>
    <t>Nghiêm trọng</t>
  </si>
  <si>
    <t>Ngắt kết nối mạng, giữ bằng chứng và báo đội ứng phó.</t>
  </si>
  <si>
    <t>VIR003</t>
  </si>
  <si>
    <t>Worm.Sample</t>
  </si>
  <si>
    <t>Cô lập thiết bị, kiểm tra kết nối mạng.</t>
  </si>
  <si>
    <t>VIR004</t>
  </si>
  <si>
    <t>Adware.Bundle</t>
  </si>
  <si>
    <t>Thấp</t>
  </si>
  <si>
    <t>Gỡ ứng dụng không mong muốn và quét hệ thống.</t>
  </si>
  <si>
    <t>VIR005</t>
  </si>
  <si>
    <t>Spyware.Demo</t>
  </si>
  <si>
    <t>Kiểm tra quyền truy cập và bảo vệ tài khoản.</t>
  </si>
  <si>
    <t>VIR006</t>
  </si>
  <si>
    <t>Backdoor.Sample</t>
  </si>
  <si>
    <t>Cô lập hệ thống, kiểm tra tài khoản đáng ngờ.</t>
  </si>
  <si>
    <t>VIR007</t>
  </si>
  <si>
    <t>Phishing.Downloader</t>
  </si>
  <si>
    <t>Trung bình</t>
  </si>
  <si>
    <t>Chặn nguồn phát tán, kiểm tra tệp tải xuống.</t>
  </si>
  <si>
    <t>VIR008</t>
  </si>
  <si>
    <t>PUA.Test</t>
  </si>
  <si>
    <t>Xác minh và gỡ ứng dụng không được phép.</t>
  </si>
  <si>
    <t>MaCanhBao</t>
  </si>
  <si>
    <t>ThoiGian</t>
  </si>
  <si>
    <t>DiaChiIP</t>
  </si>
  <si>
    <t>TrangThaiXuLy</t>
  </si>
  <si>
    <t>GhiChu</t>
  </si>
  <si>
    <t>NG-001</t>
  </si>
  <si>
    <t>26/10/2026 08:15</t>
  </si>
  <si>
    <t>192.168.1.21</t>
  </si>
  <si>
    <t>Đang kiểm tra</t>
  </si>
  <si>
    <t>Mã có khoảng trắng thừa</t>
  </si>
  <si>
    <t>NG-002</t>
  </si>
  <si>
    <t>26/10/2026 08:32</t>
  </si>
  <si>
    <t>192.168.1.35</t>
  </si>
  <si>
    <t>Ưu tiên cao</t>
  </si>
  <si>
    <t>Cảnh báo mô phỏng</t>
  </si>
  <si>
    <t>NG-003</t>
  </si>
  <si>
    <t>26/10/2026 09:05</t>
  </si>
  <si>
    <t>10.0.0.18</t>
  </si>
  <si>
    <t xml:space="preserve">VIR003 </t>
  </si>
  <si>
    <t>Đang xử lý</t>
  </si>
  <si>
    <t>Có khoảng trắng cuối</t>
  </si>
  <si>
    <t>NG-004</t>
  </si>
  <si>
    <t>26/10/2026 09:40</t>
  </si>
  <si>
    <t>192.168.1.42</t>
  </si>
  <si>
    <t>Đã cách ly</t>
  </si>
  <si>
    <t>Dữ liệu thực hành</t>
  </si>
  <si>
    <t>NG-005</t>
  </si>
  <si>
    <t>26/10/2026 10:10</t>
  </si>
  <si>
    <t>10.0.0.27</t>
  </si>
  <si>
    <t>Có khoảng trắng đầu</t>
  </si>
  <si>
    <t>NG-006</t>
  </si>
  <si>
    <t>26/10/2026 10:45</t>
  </si>
  <si>
    <t>172.16.0.9</t>
  </si>
  <si>
    <t>NG-007</t>
  </si>
  <si>
    <t>26/10/2026 11:20</t>
  </si>
  <si>
    <t>192.168.1.58</t>
  </si>
  <si>
    <t>Chờ xác minh</t>
  </si>
  <si>
    <t>NG-008</t>
  </si>
  <si>
    <t>26/10/2026 11:55</t>
  </si>
  <si>
    <t>10.0.0.33</t>
  </si>
  <si>
    <t>VIR999</t>
  </si>
  <si>
    <t>Chưa xác định</t>
  </si>
  <si>
    <t>Mã không tồn tại trong danh mục</t>
  </si>
  <si>
    <t>Nội dung</t>
  </si>
  <si>
    <t>Giải thích</t>
  </si>
  <si>
    <t>Mục đích</t>
  </si>
  <si>
    <t>Tra cứu mã mã độc từ cơ sở dữ liệu virus vào nhật ký hệ thống.</t>
  </si>
  <si>
    <t>TRIM</t>
  </si>
  <si>
    <t>Loại bỏ khoảng trắng thừa để hạn chế sai lệch khi tra cứu.</t>
  </si>
  <si>
    <t>VLOOKUP</t>
  </si>
  <si>
    <t>Tra cứu mã độc và lấy tên, mức độ nguy hiểm tương ứng.</t>
  </si>
  <si>
    <t>IFERROR</t>
  </si>
  <si>
    <t>Hiển thị thông báo khi mã độc không tồn tại trong danh mục.</t>
  </si>
  <si>
    <t>AutoFilter</t>
  </si>
  <si>
    <t>Lọc cảnh báo theo mã độc, mức độ nguy hiểm hoặc trạng thái xử lý.</t>
  </si>
  <si>
    <t>Kết quả</t>
  </si>
  <si>
    <t>Hỗ trợ nhân viên phân loại cảnh báo và ưu tiên kiểm tra sự cố.</t>
  </si>
  <si>
    <t>Lưu ý</t>
  </si>
  <si>
    <t>Dữ liệu chỉ phục vụ thực hành, không phải cảnh báo an ninh thực tế.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</si>
</sst>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2B6F2-AB3E-443B-B8A6-9748E19DDF12}" name="Table1" displayName="Table1" ref="A1:D9" totalsRowShown="0" headerRowDxfId="0" headerRowBorderDxfId="6" tableBorderDxfId="7" totalsRowBorderDxfId="5">
  <autoFilter ref="A1:D9" xr:uid="{8C32B6F2-AB3E-443B-B8A6-9748E19DDF12}"/>
  <tableColumns count="4">
    <tableColumn id="1" xr3:uid="{50993471-2EE8-424E-9726-A8E61157CA05}" name="MaMaDoc" dataDxfId="4"/>
    <tableColumn id="2" xr3:uid="{7A388577-E16C-4A08-B6C0-770E243D0C33}" name="TenMaDoc" dataDxfId="3"/>
    <tableColumn id="3" xr3:uid="{3CB0C2B5-4BEB-4DEE-ABBC-5CE758EB8BDD}" name="MucDoNguyHiem" dataDxfId="2"/>
    <tableColumn id="4" xr3:uid="{AE316819-8CC8-49CC-AE22-87E3D07CECF6}" name="BienPhapXuL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716-54EC-4794-BBDC-AA6E76E05272}">
  <dimension ref="A1:D9"/>
  <sheetViews>
    <sheetView workbookViewId="0">
      <pane ySplit="1" topLeftCell="A2" activePane="bottomLeft" state="frozen"/>
      <selection pane="bottomLeft" activeCell="F4" sqref="F4"/>
    </sheetView>
  </sheetViews>
  <sheetFormatPr defaultRowHeight="14.4"/>
  <cols>
    <col min="1" max="4" width="26.33203125" customWidth="1"/>
  </cols>
  <sheetData>
    <row r="1" spans="1:4" ht="51" customHeight="1">
      <c r="A1" s="5" t="s">
        <v>0</v>
      </c>
      <c r="B1" s="6" t="s">
        <v>1</v>
      </c>
      <c r="C1" s="6" t="s">
        <v>2</v>
      </c>
      <c r="D1" s="7" t="s">
        <v>3</v>
      </c>
    </row>
    <row r="2" spans="1:4" ht="51" customHeight="1">
      <c r="A2" s="3" t="s">
        <v>4</v>
      </c>
      <c r="B2" s="2" t="s">
        <v>5</v>
      </c>
      <c r="C2" s="2" t="s">
        <v>6</v>
      </c>
      <c r="D2" s="4" t="s">
        <v>7</v>
      </c>
    </row>
    <row r="3" spans="1:4" ht="51" customHeight="1">
      <c r="A3" s="3" t="s">
        <v>8</v>
      </c>
      <c r="B3" s="2" t="s">
        <v>9</v>
      </c>
      <c r="C3" s="2" t="s">
        <v>10</v>
      </c>
      <c r="D3" s="4" t="s">
        <v>11</v>
      </c>
    </row>
    <row r="4" spans="1:4" ht="51" customHeight="1">
      <c r="A4" s="3" t="s">
        <v>12</v>
      </c>
      <c r="B4" s="2" t="s">
        <v>13</v>
      </c>
      <c r="C4" s="2" t="s">
        <v>6</v>
      </c>
      <c r="D4" s="4" t="s">
        <v>14</v>
      </c>
    </row>
    <row r="5" spans="1:4" ht="51" customHeight="1">
      <c r="A5" s="3" t="s">
        <v>15</v>
      </c>
      <c r="B5" s="2" t="s">
        <v>16</v>
      </c>
      <c r="C5" s="2" t="s">
        <v>17</v>
      </c>
      <c r="D5" s="4" t="s">
        <v>18</v>
      </c>
    </row>
    <row r="6" spans="1:4" ht="51" customHeight="1">
      <c r="A6" s="3" t="s">
        <v>19</v>
      </c>
      <c r="B6" s="2" t="s">
        <v>20</v>
      </c>
      <c r="C6" s="2" t="s">
        <v>6</v>
      </c>
      <c r="D6" s="4" t="s">
        <v>21</v>
      </c>
    </row>
    <row r="7" spans="1:4" ht="51" customHeight="1">
      <c r="A7" s="3" t="s">
        <v>22</v>
      </c>
      <c r="B7" s="2" t="s">
        <v>23</v>
      </c>
      <c r="C7" s="2" t="s">
        <v>10</v>
      </c>
      <c r="D7" s="4" t="s">
        <v>24</v>
      </c>
    </row>
    <row r="8" spans="1:4" ht="51" customHeight="1">
      <c r="A8" s="3" t="s">
        <v>25</v>
      </c>
      <c r="B8" s="2" t="s">
        <v>26</v>
      </c>
      <c r="C8" s="2" t="s">
        <v>27</v>
      </c>
      <c r="D8" s="4" t="s">
        <v>28</v>
      </c>
    </row>
    <row r="9" spans="1:4" ht="51" customHeight="1">
      <c r="A9" s="8" t="s">
        <v>29</v>
      </c>
      <c r="B9" s="9" t="s">
        <v>30</v>
      </c>
      <c r="C9" s="9" t="s">
        <v>17</v>
      </c>
      <c r="D9" s="10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6321-78D6-4B2F-8C9A-6691039FF333}">
  <dimension ref="A1:H9"/>
  <sheetViews>
    <sheetView workbookViewId="0">
      <selection activeCell="G1" sqref="G1"/>
    </sheetView>
  </sheetViews>
  <sheetFormatPr defaultRowHeight="14.4"/>
  <cols>
    <col min="1" max="8" width="22.21875" customWidth="1"/>
  </cols>
  <sheetData>
    <row r="1" spans="1:8">
      <c r="A1" s="1" t="s">
        <v>32</v>
      </c>
      <c r="B1" s="1" t="s">
        <v>33</v>
      </c>
      <c r="C1" s="1" t="s">
        <v>34</v>
      </c>
      <c r="D1" s="1" t="s">
        <v>0</v>
      </c>
      <c r="E1" s="1" t="s">
        <v>1</v>
      </c>
      <c r="F1" s="1" t="s">
        <v>2</v>
      </c>
      <c r="G1" s="1" t="s">
        <v>35</v>
      </c>
      <c r="H1" s="1" t="s">
        <v>36</v>
      </c>
    </row>
    <row r="2" spans="1:8">
      <c r="A2" s="2" t="s">
        <v>37</v>
      </c>
      <c r="B2" s="2" t="s">
        <v>38</v>
      </c>
      <c r="C2" s="2" t="s">
        <v>39</v>
      </c>
      <c r="D2" s="11" t="s">
        <v>4</v>
      </c>
      <c r="E2" s="2" t="str">
        <f>IFERROR(VLOOKUP(TRIM(D2),CoSoDuLieuVirus!$A$2:$D$9,2,FALSE),"Chưa xác định")</f>
        <v>Trojan.Generic</v>
      </c>
      <c r="F2" s="2" t="str">
        <f>IFERROR(VLOOKUP(TRIM(D2),CoSoDuLieuVirus!$A$2:$D$9,3,FALSE),"Chưa xác định")</f>
        <v>Cao</v>
      </c>
      <c r="G2" s="2" t="s">
        <v>40</v>
      </c>
      <c r="H2" s="2" t="s">
        <v>41</v>
      </c>
    </row>
    <row r="3" spans="1:8">
      <c r="A3" s="2" t="s">
        <v>42</v>
      </c>
      <c r="B3" s="2" t="s">
        <v>43</v>
      </c>
      <c r="C3" s="2" t="s">
        <v>44</v>
      </c>
      <c r="D3" s="2" t="s">
        <v>8</v>
      </c>
      <c r="E3" s="2" t="str">
        <f>IFERROR(VLOOKUP(TRIM(D3),CoSoDuLieuVirus!$A$2:$D$9,2,FALSE),"Chưa xác định")</f>
        <v>Ransomware.Demo</v>
      </c>
      <c r="F3" s="2" t="str">
        <f>IFERROR(VLOOKUP(TRIM(D3),CoSoDuLieuVirus!$A$2:$D$9,3,FALSE),"Chưa xác định")</f>
        <v>Nghiêm trọng</v>
      </c>
      <c r="G3" s="2" t="s">
        <v>45</v>
      </c>
      <c r="H3" s="2" t="s">
        <v>46</v>
      </c>
    </row>
    <row r="4" spans="1:8">
      <c r="A4" s="2" t="s">
        <v>47</v>
      </c>
      <c r="B4" s="2" t="s">
        <v>48</v>
      </c>
      <c r="C4" s="2" t="s">
        <v>49</v>
      </c>
      <c r="D4" s="11" t="s">
        <v>50</v>
      </c>
      <c r="E4" s="2" t="str">
        <f>IFERROR(VLOOKUP(TRIM(D4),CoSoDuLieuVirus!$A$2:$D$9,2,FALSE),"Chưa xác định")</f>
        <v>Worm.Sample</v>
      </c>
      <c r="F4" s="2" t="str">
        <f>IFERROR(VLOOKUP(TRIM(D4),CoSoDuLieuVirus!$A$2:$D$9,3,FALSE),"Chưa xác định")</f>
        <v>Cao</v>
      </c>
      <c r="G4" s="2" t="s">
        <v>51</v>
      </c>
      <c r="H4" s="2" t="s">
        <v>52</v>
      </c>
    </row>
    <row r="5" spans="1:8">
      <c r="A5" s="2" t="s">
        <v>53</v>
      </c>
      <c r="B5" s="2" t="s">
        <v>54</v>
      </c>
      <c r="C5" s="2" t="s">
        <v>55</v>
      </c>
      <c r="D5" s="2" t="s">
        <v>15</v>
      </c>
      <c r="E5" s="2" t="str">
        <f>IFERROR(VLOOKUP(TRIM(D5),CoSoDuLieuVirus!$A$2:$D$9,2,FALSE),"Chưa xác định")</f>
        <v>Adware.Bundle</v>
      </c>
      <c r="F5" s="2" t="str">
        <f>IFERROR(VLOOKUP(TRIM(D5),CoSoDuLieuVirus!$A$2:$D$9,3,FALSE),"Chưa xác định")</f>
        <v>Thấp</v>
      </c>
      <c r="G5" s="2" t="s">
        <v>56</v>
      </c>
      <c r="H5" s="2" t="s">
        <v>57</v>
      </c>
    </row>
    <row r="6" spans="1:8">
      <c r="A6" s="2" t="s">
        <v>58</v>
      </c>
      <c r="B6" s="2" t="s">
        <v>59</v>
      </c>
      <c r="C6" s="2" t="s">
        <v>60</v>
      </c>
      <c r="D6" s="11" t="s">
        <v>19</v>
      </c>
      <c r="E6" s="2" t="str">
        <f>IFERROR(VLOOKUP(TRIM(D6),CoSoDuLieuVirus!$A$2:$D$9,2,FALSE),"Chưa xác định")</f>
        <v>Spyware.Demo</v>
      </c>
      <c r="F6" s="2" t="str">
        <f>IFERROR(VLOOKUP(TRIM(D6),CoSoDuLieuVirus!$A$2:$D$9,3,FALSE),"Chưa xác định")</f>
        <v>Cao</v>
      </c>
      <c r="G6" s="2" t="s">
        <v>40</v>
      </c>
      <c r="H6" s="2" t="s">
        <v>61</v>
      </c>
    </row>
    <row r="7" spans="1:8">
      <c r="A7" s="2" t="s">
        <v>62</v>
      </c>
      <c r="B7" s="2" t="s">
        <v>63</v>
      </c>
      <c r="C7" s="2" t="s">
        <v>64</v>
      </c>
      <c r="D7" s="2" t="s">
        <v>22</v>
      </c>
      <c r="E7" s="2" t="str">
        <f>IFERROR(VLOOKUP(TRIM(D7),CoSoDuLieuVirus!$A$2:$D$9,2,FALSE),"Chưa xác định")</f>
        <v>Backdoor.Sample</v>
      </c>
      <c r="F7" s="2" t="str">
        <f>IFERROR(VLOOKUP(TRIM(D7),CoSoDuLieuVirus!$A$2:$D$9,3,FALSE),"Chưa xác định")</f>
        <v>Nghiêm trọng</v>
      </c>
      <c r="G7" s="2" t="s">
        <v>45</v>
      </c>
      <c r="H7" s="2" t="s">
        <v>46</v>
      </c>
    </row>
    <row r="8" spans="1:8">
      <c r="A8" s="2" t="s">
        <v>65</v>
      </c>
      <c r="B8" s="2" t="s">
        <v>66</v>
      </c>
      <c r="C8" s="2" t="s">
        <v>67</v>
      </c>
      <c r="D8" s="2" t="s">
        <v>25</v>
      </c>
      <c r="E8" s="2" t="str">
        <f>IFERROR(VLOOKUP(TRIM(D8),CoSoDuLieuVirus!$A$2:$D$9,2,FALSE),"Chưa xác định")</f>
        <v>Phishing.Downloader</v>
      </c>
      <c r="F8" s="2" t="str">
        <f>IFERROR(VLOOKUP(TRIM(D8),CoSoDuLieuVirus!$A$2:$D$9,3,FALSE),"Chưa xác định")</f>
        <v>Trung bình</v>
      </c>
      <c r="G8" s="2" t="s">
        <v>68</v>
      </c>
      <c r="H8" s="2" t="s">
        <v>57</v>
      </c>
    </row>
    <row r="9" spans="1:8" ht="28.8">
      <c r="A9" s="2" t="s">
        <v>69</v>
      </c>
      <c r="B9" s="2" t="s">
        <v>70</v>
      </c>
      <c r="C9" s="2" t="s">
        <v>71</v>
      </c>
      <c r="D9" s="2" t="s">
        <v>72</v>
      </c>
      <c r="E9" s="2" t="str">
        <f>IFERROR(VLOOKUP(TRIM(D9),CoSoDuLieuVirus!$A$2:$D$9,2,FALSE),"Chưa xác định")</f>
        <v>Chưa xác định</v>
      </c>
      <c r="F9" s="2" t="str">
        <f>IFERROR(VLOOKUP(TRIM(D9),CoSoDuLieuVirus!$A$2:$D$9,3,FALSE),"Chưa xác định")</f>
        <v>Chưa xác định</v>
      </c>
      <c r="G9" s="2" t="s">
        <v>73</v>
      </c>
      <c r="H9" s="2" t="s">
        <v>74</v>
      </c>
    </row>
  </sheetData>
  <autoFilter ref="A1:H9" xr:uid="{93836321-78D6-4B2F-8C9A-6691039FF3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DF9A-9FAC-4072-9E27-22A1FA243CF3}">
  <dimension ref="A1:B8"/>
  <sheetViews>
    <sheetView tabSelected="1" workbookViewId="0">
      <selection activeCell="D6" sqref="D6"/>
    </sheetView>
  </sheetViews>
  <sheetFormatPr defaultRowHeight="14.4"/>
  <cols>
    <col min="1" max="2" width="53.33203125" customWidth="1"/>
  </cols>
  <sheetData>
    <row r="1" spans="1:2">
      <c r="A1" s="1" t="s">
        <v>75</v>
      </c>
      <c r="B1" s="1" t="s">
        <v>76</v>
      </c>
    </row>
    <row r="2" spans="1:2" ht="45.6" customHeight="1">
      <c r="A2" s="2" t="s">
        <v>77</v>
      </c>
      <c r="B2" s="2" t="s">
        <v>78</v>
      </c>
    </row>
    <row r="3" spans="1:2" ht="45.6" customHeight="1">
      <c r="A3" s="2" t="s">
        <v>79</v>
      </c>
      <c r="B3" s="2" t="s">
        <v>80</v>
      </c>
    </row>
    <row r="4" spans="1:2" ht="45.6" customHeight="1">
      <c r="A4" s="2" t="s">
        <v>81</v>
      </c>
      <c r="B4" s="2" t="s">
        <v>82</v>
      </c>
    </row>
    <row r="5" spans="1:2" ht="45.6" customHeight="1">
      <c r="A5" s="2" t="s">
        <v>83</v>
      </c>
      <c r="B5" s="2" t="s">
        <v>84</v>
      </c>
    </row>
    <row r="6" spans="1:2" ht="45.6" customHeight="1">
      <c r="A6" s="2" t="s">
        <v>85</v>
      </c>
      <c r="B6" s="2" t="s">
        <v>86</v>
      </c>
    </row>
    <row r="7" spans="1:2" ht="45.6" customHeight="1">
      <c r="A7" s="2" t="s">
        <v>87</v>
      </c>
      <c r="B7" s="2" t="s">
        <v>88</v>
      </c>
    </row>
    <row r="8" spans="1:2" ht="45.6" customHeight="1">
      <c r="A8" s="2" t="s">
        <v>89</v>
      </c>
      <c r="B8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CoSoDuLieuVirus</vt:lpstr>
      <vt:lpstr>NhatKyHeThong</vt:lpstr>
      <vt:lpstr>HuongDan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2026-10-26T16:01:49Z</dcterms:created>
  <dcterms:modified xsi:type="dcterms:W3CDTF">2026-10-26T16:08:42Z</dcterms:modified>
</cp:coreProperties>
</file>